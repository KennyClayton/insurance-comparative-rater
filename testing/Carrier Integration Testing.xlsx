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8df10816d6db03/Documents/IT Learning/Bamboo Insurance Project 2025/"/>
    </mc:Choice>
  </mc:AlternateContent>
  <xr:revisionPtr revIDLastSave="0" documentId="8_{9FFC09FE-9C1E-4168-BBE4-33E96D7B5501}" xr6:coauthVersionLast="47" xr6:coauthVersionMax="47" xr10:uidLastSave="{00000000-0000-0000-0000-000000000000}"/>
  <bookViews>
    <workbookView xWindow="-120" yWindow="-120" windowWidth="29040" windowHeight="15720" activeTab="1" xr2:uid="{82883588-F1FD-4064-A55E-4D04596D9CE9}"/>
  </bookViews>
  <sheets>
    <sheet name="Test Results Summary" sheetId="1" r:id="rId1"/>
    <sheet name="API Performance" sheetId="2" r:id="rId2"/>
    <sheet name="Test 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2" i="1"/>
  <c r="B9" i="1"/>
  <c r="B10" i="1"/>
  <c r="F5" i="2"/>
  <c r="D5" i="2"/>
  <c r="C5" i="2"/>
  <c r="B5" i="2"/>
  <c r="E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<sst xmlns="http://schemas.openxmlformats.org/spreadsheetml/2006/main" count="119" uniqueCount="83">
  <si>
    <t>Carrier</t>
  </si>
  <si>
    <t>Endpoint</t>
  </si>
  <si>
    <t>Status</t>
  </si>
  <si>
    <t>Error Details</t>
  </si>
  <si>
    <t>Notes</t>
  </si>
  <si>
    <t>Carrier A</t>
  </si>
  <si>
    <t>Carrier B</t>
  </si>
  <si>
    <t>Carrier C</t>
  </si>
  <si>
    <t>Carrier C (alt)</t>
  </si>
  <si>
    <t>country-info</t>
  </si>
  <si>
    <t>calculator</t>
  </si>
  <si>
    <t>number-convert</t>
  </si>
  <si>
    <t>country-currency</t>
  </si>
  <si>
    <t>Pass</t>
  </si>
  <si>
    <t>Fail</t>
  </si>
  <si>
    <t>Response Time (seconds)</t>
  </si>
  <si>
    <t>Successfully returned country list</t>
  </si>
  <si>
    <t>Successfully calculated 100+250=350</t>
  </si>
  <si>
    <t>Using as Carrier C replacement</t>
  </si>
  <si>
    <t>-</t>
  </si>
  <si>
    <t>ECONNRESET</t>
  </si>
  <si>
    <t>Carrier Name</t>
  </si>
  <si>
    <t>Test Date</t>
  </si>
  <si>
    <t>Test ID</t>
  </si>
  <si>
    <t>TC-001</t>
  </si>
  <si>
    <t>TC-002</t>
  </si>
  <si>
    <t>TC-003</t>
  </si>
  <si>
    <t>TC-004</t>
  </si>
  <si>
    <t>API unavailable - see Jira KAN-1</t>
  </si>
  <si>
    <t>Total Tests</t>
  </si>
  <si>
    <t>Passed</t>
  </si>
  <si>
    <t>Failed</t>
  </si>
  <si>
    <t>Success Rate (%)</t>
  </si>
  <si>
    <t>Avg Response Time (seconds)</t>
  </si>
  <si>
    <t>Total</t>
  </si>
  <si>
    <t>Test Case ID</t>
  </si>
  <si>
    <t>Test Description</t>
  </si>
  <si>
    <t>Input Data</t>
  </si>
  <si>
    <t>Expected Result</t>
  </si>
  <si>
    <t>Actual Result</t>
  </si>
  <si>
    <t>Priority</t>
  </si>
  <si>
    <t>TC-005</t>
  </si>
  <si>
    <t>TC-006</t>
  </si>
  <si>
    <t>TC-007</t>
  </si>
  <si>
    <t>TC-008</t>
  </si>
  <si>
    <t>TC-009</t>
  </si>
  <si>
    <t>TC-010</t>
  </si>
  <si>
    <t>Retrieve country name by ISO code</t>
  </si>
  <si>
    <t>sCountryISOCode: "US"</t>
  </si>
  <si>
    <t>Returns "United States"</t>
  </si>
  <si>
    <t>Returned "United States"</t>
  </si>
  <si>
    <t>PASS</t>
  </si>
  <si>
    <t>High</t>
  </si>
  <si>
    <t>Calculate premium (base + addon)</t>
  </si>
  <si>
    <t>Convert number to words</t>
  </si>
  <si>
    <t>Retrieve currency by country</t>
  </si>
  <si>
    <t>Handle invalid country code</t>
  </si>
  <si>
    <t>Test API timeout handling</t>
  </si>
  <si>
    <t>Validate required fields</t>
  </si>
  <si>
    <t>All</t>
  </si>
  <si>
    <t>intA: 100, intB: 250</t>
  </si>
  <si>
    <t>ubiNum: 1500</t>
  </si>
  <si>
    <t>sCountryISOCode: "ZZ"</t>
  </si>
  <si>
    <t>Delayed response</t>
  </si>
  <si>
    <t>Missing required field</t>
  </si>
  <si>
    <t>Returns 350</t>
  </si>
  <si>
    <t>Returns "one thousand five hundred"</t>
  </si>
  <si>
    <t>Returns "USD"</t>
  </si>
  <si>
    <t>Returns error or empty</t>
  </si>
  <si>
    <t>System excludes carrier after 5s</t>
  </si>
  <si>
    <t>API returns 400 error</t>
  </si>
  <si>
    <t>(Not tested yet)</t>
  </si>
  <si>
    <t>Returned "USD"</t>
  </si>
  <si>
    <t>ECONNRESET error</t>
  </si>
  <si>
    <t>Returned 350</t>
  </si>
  <si>
    <t>FAIL</t>
  </si>
  <si>
    <t>PENDING</t>
  </si>
  <si>
    <t>Medium</t>
  </si>
  <si>
    <t>CARRIER INTEGRATION TESTING - PHASE 1 RESULTS</t>
  </si>
  <si>
    <t>Tests Executed:</t>
  </si>
  <si>
    <t>Pass Rate:</t>
  </si>
  <si>
    <t>Date Range:</t>
  </si>
  <si>
    <t>Total APIs Tested: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</si>
</sst>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2" borderId="0" xfId="0" applyFont="1" applyFill="1"/>
    <xf numFmtId="2" fontId="0" fillId="0" borderId="0" xfId="0" applyNumberFormat="1"/>
    <xf numFmtId="9" fontId="0" fillId="0" borderId="0" xfId="1" applyFont="1"/>
    <xf numFmtId="9" fontId="0" fillId="0" borderId="0" xfId="1" applyNumberFormat="1" applyFont="1"/>
    <xf numFmtId="0" fontId="1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8">
    <dxf>
      <fill>
        <patternFill>
          <bgColor theme="9"/>
        </patternFill>
      </fill>
    </dxf>
    <dxf>
      <fill>
        <patternFill>
          <bgColor rgb="FFFF3333"/>
        </patternFill>
      </fill>
    </dxf>
    <dxf>
      <fill>
        <patternFill>
          <bgColor rgb="FFFFFF61"/>
        </patternFill>
      </fill>
    </dxf>
    <dxf>
      <font>
        <color rgb="FF000000"/>
      </font>
      <fill>
        <patternFill patternType="solid">
          <fgColor indexed="64"/>
          <bgColor rgb="FFF8696B"/>
        </patternFill>
      </fill>
    </dxf>
    <dxf>
      <font>
        <color rgb="FF000000"/>
      </font>
      <fill>
        <patternFill patternType="solid">
          <fgColor indexed="64"/>
          <bgColor rgb="FF63BE7B"/>
        </patternFill>
      </fill>
    </dxf>
    <dxf>
      <fill>
        <patternFill>
          <bgColor rgb="FFFF3333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FFFF61"/>
      <color rgb="FFFF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Tests per Carrier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'API Performance'!$A$2:$A$5</c:f>
              <c:strCache>
                <c:ptCount val="4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  <c:pt idx="3">
                  <c:v>Total</c:v>
                </c:pt>
              </c:strCache>
            </c:strRef>
          </c:cat>
          <c:val>
            <c:numRef>
              <c:f>'API Performance'!$B$2:$B$5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8-4991-9834-2639B3A83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6440000"/>
        <c:axId val="2006441920"/>
      </c:barChart>
      <c:catAx>
        <c:axId val="200644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441920"/>
        <c:crosses val="autoZero"/>
        <c:auto val="1"/>
        <c:lblAlgn val="ctr"/>
        <c:lblOffset val="100"/>
        <c:noMultiLvlLbl val="0"/>
      </c:catAx>
      <c:valAx>
        <c:axId val="200644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440000"/>
        <c:crosses val="autoZero"/>
        <c:crossBetween val="between"/>
        <c:majorUnit val="1"/>
        <c:minorUnit val="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4762</xdr:rowOff>
    </xdr:from>
    <xdr:to>
      <xdr:col>14</xdr:col>
      <xdr:colOff>304800</xdr:colOff>
      <xdr:row>15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9C9D74-40DF-F283-6095-71AEC8BA0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190499</xdr:colOff>
      <xdr:row>7</xdr:row>
      <xdr:rowOff>4761</xdr:rowOff>
    </xdr:from>
    <xdr:to>
      <xdr:col>5</xdr:col>
      <xdr:colOff>1800224</xdr:colOff>
      <xdr:row>17</xdr:row>
      <xdr:rowOff>180974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C8D364E-0C29-8D71-2426-27A160DC4C2E}"/>
            </a:ext>
          </a:extLst>
        </xdr:cNvPr>
        <xdr:cNvSpPr txBox="1"/>
      </xdr:nvSpPr>
      <xdr:spPr>
        <a:xfrm>
          <a:off x="190499" y="1338261"/>
          <a:ext cx="5076825" cy="208121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Findings:</a:t>
          </a:r>
          <a:r>
            <a:rPr lang="en-US">
              <a:effectLst/>
            </a:rPr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 Carrier B has fastest response time (0.8s)</a:t>
          </a:r>
          <a:r>
            <a:rPr lang="en-US">
              <a:effectLst/>
            </a:rPr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 All active carriers meet &lt;3s requirement</a:t>
          </a:r>
          <a:r>
            <a:rPr lang="en-US">
              <a:effectLst/>
            </a:rPr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⚠️ Carrier C primary endpoint unavailable (documented in KAN-1)</a:t>
          </a:r>
          <a:r>
            <a:rPr lang="en-US">
              <a:effectLst/>
            </a:rPr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 Alternative Carrier C endpoint performing well</a:t>
          </a:r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📊 Overall system readiness: 75%</a:t>
          </a:r>
          <a:r>
            <a:rPr lang="en-US">
              <a:effectLst/>
            </a:rPr>
            <a:t> </a:t>
          </a:r>
        </a:p>
        <a:p>
          <a:endParaRPr lang="en-US" sz="1100">
            <a:effectLst/>
          </a:endParaRPr>
        </a:p>
        <a:p>
          <a:r>
            <a:rPr lang="en-US" b="1"/>
            <a:t>Recommendations:</a:t>
          </a:r>
          <a:endParaRPr lang="en-US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/>
            <a:t>Monitor Carrier C primary endpoint for restoration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/>
            <a:t>Establish SLA with carriers for uptime requirements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/>
            <a:t>Implement automated health checks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/>
            <a:t>Add 5 additional test cases (see TC-005 through TC-009)</a:t>
          </a:r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94F3-7A00-4E2A-903D-C73F591A9BAD}">
  <dimension ref="A1:H12"/>
  <sheetViews>
    <sheetView workbookViewId="0">
      <selection activeCell="B12" sqref="B12"/>
    </sheetView>
  </sheetViews>
  <sheetFormatPr defaultRowHeight="15" x14ac:dyDescent="0.25"/>
  <cols>
    <col min="1" max="1" width="16.5703125" bestFit="1" customWidth="1"/>
    <col min="2" max="2" width="24.28515625" customWidth="1"/>
    <col min="3" max="3" width="16" bestFit="1" customWidth="1"/>
    <col min="4" max="4" width="10.42578125" bestFit="1" customWidth="1"/>
    <col min="6" max="6" width="24" bestFit="1" customWidth="1"/>
    <col min="7" max="7" width="28.85546875" customWidth="1"/>
    <col min="8" max="8" width="41" bestFit="1" customWidth="1"/>
  </cols>
  <sheetData>
    <row r="1" spans="1:8" x14ac:dyDescent="0.25">
      <c r="A1" s="6" t="s">
        <v>78</v>
      </c>
      <c r="B1" s="6"/>
      <c r="C1" s="6"/>
      <c r="D1" s="6"/>
      <c r="E1" s="6"/>
      <c r="F1" s="6"/>
      <c r="G1" s="6"/>
      <c r="H1" s="6"/>
    </row>
    <row r="2" spans="1:8" x14ac:dyDescent="0.25">
      <c r="A2" s="2" t="s">
        <v>23</v>
      </c>
      <c r="B2" s="2" t="s">
        <v>21</v>
      </c>
      <c r="C2" s="2" t="s">
        <v>1</v>
      </c>
      <c r="D2" s="2" t="s">
        <v>22</v>
      </c>
      <c r="E2" s="2" t="s">
        <v>2</v>
      </c>
      <c r="F2" s="2" t="s">
        <v>15</v>
      </c>
      <c r="G2" s="2" t="s">
        <v>3</v>
      </c>
      <c r="H2" s="2" t="s">
        <v>4</v>
      </c>
    </row>
    <row r="3" spans="1:8" x14ac:dyDescent="0.25">
      <c r="A3" t="s">
        <v>24</v>
      </c>
      <c r="B3" t="s">
        <v>5</v>
      </c>
      <c r="C3" t="s">
        <v>9</v>
      </c>
      <c r="D3" s="1">
        <v>45984</v>
      </c>
      <c r="E3" t="s">
        <v>13</v>
      </c>
      <c r="F3">
        <v>1.2</v>
      </c>
      <c r="G3" t="s">
        <v>19</v>
      </c>
      <c r="H3" t="s">
        <v>16</v>
      </c>
    </row>
    <row r="4" spans="1:8" x14ac:dyDescent="0.25">
      <c r="A4" t="s">
        <v>25</v>
      </c>
      <c r="B4" t="s">
        <v>6</v>
      </c>
      <c r="C4" t="s">
        <v>10</v>
      </c>
      <c r="D4" s="1">
        <v>45984</v>
      </c>
      <c r="E4" t="s">
        <v>13</v>
      </c>
      <c r="F4">
        <v>0.8</v>
      </c>
      <c r="G4" t="s">
        <v>19</v>
      </c>
      <c r="H4" t="s">
        <v>17</v>
      </c>
    </row>
    <row r="5" spans="1:8" x14ac:dyDescent="0.25">
      <c r="A5" t="s">
        <v>26</v>
      </c>
      <c r="B5" t="s">
        <v>7</v>
      </c>
      <c r="C5" t="s">
        <v>11</v>
      </c>
      <c r="D5" s="1">
        <v>45984</v>
      </c>
      <c r="E5" t="s">
        <v>14</v>
      </c>
      <c r="F5" t="s">
        <v>19</v>
      </c>
      <c r="G5" t="s">
        <v>20</v>
      </c>
      <c r="H5" t="s">
        <v>28</v>
      </c>
    </row>
    <row r="6" spans="1:8" x14ac:dyDescent="0.25">
      <c r="A6" t="s">
        <v>27</v>
      </c>
      <c r="B6" t="s">
        <v>8</v>
      </c>
      <c r="C6" t="s">
        <v>12</v>
      </c>
      <c r="D6" s="1">
        <v>45985</v>
      </c>
      <c r="E6" t="s">
        <v>13</v>
      </c>
      <c r="F6">
        <v>1.5</v>
      </c>
      <c r="G6" t="s">
        <v>19</v>
      </c>
      <c r="H6" t="s">
        <v>18</v>
      </c>
    </row>
    <row r="9" spans="1:8" x14ac:dyDescent="0.25">
      <c r="A9" t="s">
        <v>82</v>
      </c>
      <c r="B9">
        <f>COUNTA(_xlfn.UNIQUE(B3:B6))</f>
        <v>4</v>
      </c>
    </row>
    <row r="10" spans="1:8" x14ac:dyDescent="0.25">
      <c r="A10" t="s">
        <v>79</v>
      </c>
      <c r="B10">
        <f>COUNTA(A3:A6)</f>
        <v>4</v>
      </c>
    </row>
    <row r="11" spans="1:8" x14ac:dyDescent="0.25">
      <c r="A11" t="s">
        <v>80</v>
      </c>
    </row>
    <row r="12" spans="1:8" x14ac:dyDescent="0.25">
      <c r="A12" t="s">
        <v>81</v>
      </c>
      <c r="B12" t="str" cm="1">
        <f t="array" ref="B12">_xlfn.TEXTJOIN(", - ", TRUE, _xlfn.UNIQUE(TEXT(D3:D6, "mmm dd, yyyy")))</f>
        <v>Nov 23, 2025, - Nov 24, 2025</v>
      </c>
    </row>
  </sheetData>
  <mergeCells count="1">
    <mergeCell ref="A1:H1"/>
  </mergeCells>
  <phoneticPr fontId="3" type="noConversion"/>
  <conditionalFormatting sqref="E3:E6">
    <cfRule type="cellIs" dxfId="4" priority="3" operator="equal">
      <formula>"Pass"</formula>
    </cfRule>
  </conditionalFormatting>
  <conditionalFormatting sqref="E3:E6">
    <cfRule type="cellIs" dxfId="3" priority="4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CF32-9AB0-4EF1-B67E-B8CF614BFBB5}">
  <dimension ref="A1:F5"/>
  <sheetViews>
    <sheetView tabSelected="1" workbookViewId="0">
      <selection activeCell="B20" sqref="B20"/>
    </sheetView>
  </sheetViews>
  <sheetFormatPr defaultRowHeight="15" x14ac:dyDescent="0.25"/>
  <cols>
    <col min="1" max="1" width="11.7109375" customWidth="1"/>
    <col min="2" max="2" width="10.42578125" bestFit="1" customWidth="1"/>
    <col min="3" max="3" width="7.42578125" bestFit="1" customWidth="1"/>
    <col min="4" max="4" width="6.42578125" bestFit="1" customWidth="1"/>
    <col min="5" max="5" width="16" style="5" bestFit="1" customWidth="1"/>
    <col min="6" max="6" width="27.5703125" bestFit="1" customWidth="1"/>
  </cols>
  <sheetData>
    <row r="1" spans="1:6" x14ac:dyDescent="0.25">
      <c r="A1" s="2" t="s">
        <v>0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</row>
    <row r="2" spans="1:6" x14ac:dyDescent="0.25">
      <c r="A2" t="s">
        <v>5</v>
      </c>
      <c r="B2">
        <v>1</v>
      </c>
      <c r="C2">
        <v>1</v>
      </c>
      <c r="D2">
        <v>0</v>
      </c>
      <c r="E2" s="4">
        <v>1</v>
      </c>
      <c r="F2">
        <v>1.2</v>
      </c>
    </row>
    <row r="3" spans="1:6" x14ac:dyDescent="0.25">
      <c r="A3" t="s">
        <v>6</v>
      </c>
      <c r="B3">
        <v>1</v>
      </c>
      <c r="C3">
        <v>1</v>
      </c>
      <c r="D3">
        <v>0</v>
      </c>
      <c r="E3" s="5">
        <v>1</v>
      </c>
      <c r="F3">
        <v>0.8</v>
      </c>
    </row>
    <row r="4" spans="1:6" x14ac:dyDescent="0.25">
      <c r="A4" t="s">
        <v>7</v>
      </c>
      <c r="B4">
        <v>2</v>
      </c>
      <c r="C4">
        <v>1</v>
      </c>
      <c r="D4">
        <v>1</v>
      </c>
      <c r="E4" s="5">
        <v>0.5</v>
      </c>
      <c r="F4">
        <v>1.5</v>
      </c>
    </row>
    <row r="5" spans="1:6" x14ac:dyDescent="0.25">
      <c r="A5" t="s">
        <v>34</v>
      </c>
      <c r="B5">
        <f>SUM(B2:B4)</f>
        <v>4</v>
      </c>
      <c r="C5">
        <f>SUM(C2:C4)</f>
        <v>3</v>
      </c>
      <c r="D5">
        <f>SUM(D2:D4)</f>
        <v>1</v>
      </c>
      <c r="E5" s="5">
        <f>AVERAGE(C5/B5)</f>
        <v>0.75</v>
      </c>
      <c r="F5" s="3">
        <f>AVERAGE(F2:F4)</f>
        <v>1.1666666666666667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A815-9E35-4FDC-B85A-4C898D47FA50}">
  <dimension ref="A1:H11"/>
  <sheetViews>
    <sheetView workbookViewId="0">
      <selection activeCell="H1" sqref="H1"/>
    </sheetView>
  </sheetViews>
  <sheetFormatPr defaultRowHeight="15" x14ac:dyDescent="0.25"/>
  <cols>
    <col min="1" max="1" width="12.28515625" bestFit="1" customWidth="1"/>
    <col min="2" max="2" width="31.5703125" bestFit="1" customWidth="1"/>
    <col min="4" max="4" width="21.140625" bestFit="1" customWidth="1"/>
    <col min="5" max="5" width="21.42578125" bestFit="1" customWidth="1"/>
    <col min="6" max="6" width="22.5703125" bestFit="1" customWidth="1"/>
  </cols>
  <sheetData>
    <row r="1" spans="1:8" x14ac:dyDescent="0.25">
      <c r="A1" s="2" t="s">
        <v>35</v>
      </c>
      <c r="B1" s="2" t="s">
        <v>36</v>
      </c>
      <c r="C1" s="2" t="s">
        <v>0</v>
      </c>
      <c r="D1" s="2" t="s">
        <v>37</v>
      </c>
      <c r="E1" s="2" t="s">
        <v>38</v>
      </c>
      <c r="F1" s="2" t="s">
        <v>39</v>
      </c>
      <c r="G1" s="2" t="s">
        <v>2</v>
      </c>
      <c r="H1" s="2" t="s">
        <v>40</v>
      </c>
    </row>
    <row r="2" spans="1:8" x14ac:dyDescent="0.25">
      <c r="A2" t="s">
        <v>24</v>
      </c>
      <c r="B2" t="s">
        <v>47</v>
      </c>
      <c r="C2" t="s">
        <v>5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</row>
    <row r="3" spans="1:8" x14ac:dyDescent="0.25">
      <c r="A3" t="s">
        <v>25</v>
      </c>
      <c r="B3" t="s">
        <v>53</v>
      </c>
      <c r="C3" t="s">
        <v>6</v>
      </c>
      <c r="D3" t="s">
        <v>60</v>
      </c>
      <c r="E3" t="s">
        <v>65</v>
      </c>
      <c r="F3" t="s">
        <v>74</v>
      </c>
      <c r="G3" t="s">
        <v>51</v>
      </c>
      <c r="H3" t="s">
        <v>52</v>
      </c>
    </row>
    <row r="4" spans="1:8" x14ac:dyDescent="0.25">
      <c r="A4" t="s">
        <v>26</v>
      </c>
      <c r="B4" t="s">
        <v>54</v>
      </c>
      <c r="C4" t="s">
        <v>7</v>
      </c>
      <c r="D4" t="s">
        <v>61</v>
      </c>
      <c r="E4" t="s">
        <v>66</v>
      </c>
      <c r="F4" t="s">
        <v>73</v>
      </c>
      <c r="G4" t="s">
        <v>75</v>
      </c>
      <c r="H4" t="s">
        <v>77</v>
      </c>
    </row>
    <row r="5" spans="1:8" x14ac:dyDescent="0.25">
      <c r="A5" t="s">
        <v>27</v>
      </c>
      <c r="B5" t="s">
        <v>55</v>
      </c>
      <c r="C5" t="s">
        <v>7</v>
      </c>
      <c r="D5" t="s">
        <v>48</v>
      </c>
      <c r="E5" t="s">
        <v>67</v>
      </c>
      <c r="F5" t="s">
        <v>72</v>
      </c>
      <c r="G5" t="s">
        <v>51</v>
      </c>
      <c r="H5" t="s">
        <v>52</v>
      </c>
    </row>
    <row r="6" spans="1:8" x14ac:dyDescent="0.25">
      <c r="A6" t="s">
        <v>41</v>
      </c>
      <c r="B6" t="s">
        <v>56</v>
      </c>
      <c r="C6" t="s">
        <v>5</v>
      </c>
      <c r="D6" t="s">
        <v>62</v>
      </c>
      <c r="E6" t="s">
        <v>68</v>
      </c>
      <c r="F6" t="s">
        <v>71</v>
      </c>
      <c r="G6" t="s">
        <v>76</v>
      </c>
      <c r="H6" t="s">
        <v>77</v>
      </c>
    </row>
    <row r="7" spans="1:8" x14ac:dyDescent="0.25">
      <c r="A7" t="s">
        <v>42</v>
      </c>
      <c r="B7" t="s">
        <v>57</v>
      </c>
      <c r="C7" t="s">
        <v>59</v>
      </c>
      <c r="D7" t="s">
        <v>63</v>
      </c>
      <c r="E7" t="s">
        <v>69</v>
      </c>
      <c r="F7" t="s">
        <v>71</v>
      </c>
      <c r="G7" t="s">
        <v>76</v>
      </c>
      <c r="H7" t="s">
        <v>52</v>
      </c>
    </row>
    <row r="8" spans="1:8" x14ac:dyDescent="0.25">
      <c r="A8" t="s">
        <v>43</v>
      </c>
      <c r="B8" t="s">
        <v>58</v>
      </c>
      <c r="C8" t="s">
        <v>59</v>
      </c>
      <c r="D8" t="s">
        <v>64</v>
      </c>
      <c r="E8" t="s">
        <v>70</v>
      </c>
      <c r="F8" t="s">
        <v>71</v>
      </c>
      <c r="G8" t="s">
        <v>76</v>
      </c>
      <c r="H8" t="s">
        <v>52</v>
      </c>
    </row>
    <row r="9" spans="1:8" x14ac:dyDescent="0.25">
      <c r="A9" t="s">
        <v>44</v>
      </c>
    </row>
    <row r="10" spans="1:8" x14ac:dyDescent="0.25">
      <c r="A10" t="s">
        <v>45</v>
      </c>
    </row>
    <row r="11" spans="1:8" x14ac:dyDescent="0.25">
      <c r="A11" t="s">
        <v>46</v>
      </c>
    </row>
  </sheetData>
  <phoneticPr fontId="3" type="noConversion"/>
  <conditionalFormatting sqref="G2:G1048576 H6 H4">
    <cfRule type="containsText" dxfId="2" priority="1" operator="containsText" text="PENDING">
      <formula>NOT(ISERROR(SEARCH("PENDING",G2)))</formula>
    </cfRule>
    <cfRule type="containsText" dxfId="1" priority="2" operator="containsText" text="FAIL">
      <formula>NOT(ISERROR(SEARCH("FAIL",G2)))</formula>
    </cfRule>
    <cfRule type="containsText" dxfId="0" priority="3" operator="containsText" text="PASS">
      <formula>NOT(ISERROR(SEARCH("PASS",G2)))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Results Summary</vt:lpstr>
      <vt:lpstr>API Performance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Clayton</dc:creator>
  <cp:lastModifiedBy>Kenny Clayton</cp:lastModifiedBy>
  <dcterms:created xsi:type="dcterms:W3CDTF">2025-11-23T17:01:41Z</dcterms:created>
  <dcterms:modified xsi:type="dcterms:W3CDTF">2025-11-29T08:48:20Z</dcterms:modified>
</cp:coreProperties>
</file>